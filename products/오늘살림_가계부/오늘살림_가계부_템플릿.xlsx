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설정" sheetId="2" state="visible" r:id="rId2"/>
    <sheet name="대시보드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m/d"/>
  </numFmts>
  <fonts count="19">
    <font>
      <name val="Calibri"/>
      <family val="2"/>
      <color theme="1"/>
      <sz val="11"/>
      <scheme val="minor"/>
    </font>
    <font>
      <name val="맑은 고딕"/>
      <b val="1"/>
      <color rgb="0022312B"/>
      <sz val="28"/>
    </font>
    <font>
      <name val="맑은 고딕"/>
      <color rgb="006B8F71"/>
      <sz val="13"/>
    </font>
    <font>
      <name val="맑은 고딕"/>
      <b val="1"/>
      <color rgb="0022312B"/>
      <sz val="13"/>
    </font>
    <font>
      <name val="맑은 고딕"/>
      <color rgb="0022312B"/>
      <sz val="11"/>
    </font>
    <font>
      <name val="맑은 고딕"/>
      <i val="1"/>
      <color rgb="006B8F71"/>
      <sz val="11"/>
    </font>
    <font>
      <name val="맑은 고딕"/>
      <color rgb="009A9A90"/>
      <sz val="9"/>
    </font>
    <font>
      <name val="맑은 고딕"/>
      <b val="1"/>
      <color rgb="0022312B"/>
      <sz val="14"/>
    </font>
    <font>
      <name val="맑은 고딕"/>
      <b val="1"/>
      <color rgb="00FFFFFF"/>
      <sz val="10"/>
    </font>
    <font>
      <name val="맑은 고딕"/>
      <color rgb="0022312B"/>
      <sz val="10"/>
    </font>
    <font>
      <name val="맑은 고딕"/>
      <b val="1"/>
      <color rgb="0022312B"/>
      <sz val="10"/>
    </font>
    <font>
      <name val="맑은 고딕"/>
      <b val="1"/>
      <color rgb="004E7A5A"/>
      <sz val="13"/>
    </font>
    <font>
      <name val="맑은 고딕"/>
      <b val="1"/>
      <color rgb="0022312B"/>
      <sz val="16"/>
    </font>
    <font>
      <name val="맑은 고딕"/>
      <b val="1"/>
      <color rgb="006B8F71"/>
      <sz val="11"/>
    </font>
    <font>
      <name val="맑은 고딕"/>
      <color rgb="006A6A62"/>
      <sz val="9"/>
    </font>
    <font>
      <name val="맑은 고딕"/>
      <b val="1"/>
      <color rgb="004E7A5A"/>
      <sz val="12"/>
    </font>
    <font>
      <name val="맑은 고딕"/>
      <b val="1"/>
      <color rgb="006B8F71"/>
      <sz val="12"/>
    </font>
    <font>
      <name val="맑은 고딕"/>
      <b val="1"/>
      <color rgb="0022312B"/>
      <sz val="12"/>
    </font>
    <font>
      <name val="맑은 고딕"/>
      <i val="1"/>
      <color rgb="006B8F71"/>
      <sz val="10"/>
    </font>
  </fonts>
  <fills count="7">
    <fill>
      <patternFill/>
    </fill>
    <fill>
      <patternFill patternType="gray125"/>
    </fill>
    <fill>
      <patternFill patternType="solid">
        <fgColor rgb="00E8F0EA"/>
      </patternFill>
    </fill>
    <fill>
      <patternFill patternType="solid">
        <fgColor rgb="00F7F5EF"/>
      </patternFill>
    </fill>
    <fill>
      <patternFill patternType="solid">
        <fgColor rgb="006B8F71"/>
      </patternFill>
    </fill>
    <fill>
      <patternFill patternType="solid">
        <fgColor rgb="0022312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8CF"/>
      </left>
      <right style="thin">
        <color rgb="00D8D8CF"/>
      </right>
      <top style="thin">
        <color rgb="00D8D8CF"/>
      </top>
      <bottom style="thin">
        <color rgb="00D8D8C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10" fillId="0" borderId="0" pivotButton="0" quotePrefix="0" xfId="0"/>
    <xf numFmtId="164" fontId="9" fillId="2" borderId="1" applyAlignment="1" pivotButton="0" quotePrefix="0" xfId="0">
      <alignment horizontal="right" vertical="center"/>
    </xf>
    <xf numFmtId="0" fontId="1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9" fontId="10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9" fontId="16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8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C0563B"/>
      </font>
      <fill>
        <patternFill patternType="solid">
          <fgColor rgb="00F4CCC4"/>
        </patternFill>
      </fill>
    </dxf>
    <dxf>
      <font>
        <b val="1"/>
        <color rgb="00C056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오늘살림 가계부</t>
        </is>
      </c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>
      <c r="B4" s="3" t="inlineStr">
        <is>
          <t>계산해주는 살림 · 한 달 -50만원 프로젝트</t>
        </is>
      </c>
      <c r="C4" s="2" t="n"/>
      <c r="D4" s="2" t="n"/>
      <c r="E4" s="2" t="n"/>
      <c r="F4" s="2" t="n"/>
      <c r="G4" s="2" t="n"/>
    </row>
    <row r="5">
      <c r="B5" s="2" t="n"/>
      <c r="C5" s="2" t="n"/>
      <c r="D5" s="2" t="n"/>
      <c r="E5" s="2" t="n"/>
      <c r="F5" s="2" t="n"/>
      <c r="G5" s="2" t="n"/>
    </row>
    <row r="6">
      <c r="B6" s="2" t="n"/>
      <c r="C6" s="2" t="n"/>
      <c r="D6" s="2" t="n"/>
      <c r="E6" s="2" t="n"/>
      <c r="F6" s="2" t="n"/>
      <c r="G6" s="2" t="n"/>
    </row>
    <row r="7">
      <c r="B7" s="2" t="n"/>
      <c r="C7" s="2" t="n"/>
      <c r="D7" s="2" t="n"/>
      <c r="E7" s="2" t="n"/>
      <c r="F7" s="2" t="n"/>
      <c r="G7" s="2" t="n"/>
    </row>
    <row r="9">
      <c r="B9" s="4" t="inlineStr">
        <is>
          <t>📌 사용법 (3단계)</t>
        </is>
      </c>
    </row>
    <row r="10">
      <c r="B10" s="5" t="inlineStr">
        <is>
          <t>① [설정] 시트에서 이번 달 카테고리별 예산을 정해요.</t>
        </is>
      </c>
    </row>
    <row r="11">
      <c r="B11" s="5" t="inlineStr">
        <is>
          <t>② [1월]~[12월] 시트에 그날 쓴 돈을 한 줄씩 적어요. (카테고리는 드롭다운)</t>
        </is>
      </c>
    </row>
    <row r="12">
      <c r="B12" s="5" t="inlineStr">
        <is>
          <t>③ [대시보드]가 예산 대비 지출·절약액을 자동으로 계산해줘요.</t>
        </is>
      </c>
    </row>
    <row r="14">
      <c r="B14" s="6" t="inlineStr">
        <is>
          <t>💡 완벽하게 다 적으려 하지 마세요. '큰 지출 1개'만 놓치지 않아도 충분해요.</t>
        </is>
      </c>
      <c r="C14" s="7" t="n"/>
      <c r="D14" s="7" t="n"/>
      <c r="E14" s="7" t="n"/>
      <c r="F14" s="7" t="n"/>
      <c r="G14" s="7" t="n"/>
    </row>
    <row r="15">
      <c r="B15" s="7" t="n"/>
      <c r="C15" s="7" t="n"/>
      <c r="D15" s="7" t="n"/>
      <c r="E15" s="7" t="n"/>
      <c r="F15" s="7" t="n"/>
      <c r="G15" s="7" t="n"/>
    </row>
    <row r="17">
      <c r="B17" s="8" t="inlineStr">
        <is>
          <t>ⓒ 오늘살림  ·  개인 사용/1가구용  ·  재판매·재배포 금지</t>
        </is>
      </c>
    </row>
  </sheetData>
  <mergeCells count="8">
    <mergeCell ref="B2:G3"/>
    <mergeCell ref="B10:G10"/>
    <mergeCell ref="B14:G15"/>
    <mergeCell ref="B17:G17"/>
    <mergeCell ref="B9:G9"/>
    <mergeCell ref="B4:G4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40" customWidth="1" min="4" max="4"/>
  </cols>
  <sheetData>
    <row r="2">
      <c r="B2" s="9" t="inlineStr">
        <is>
          <t>카테고리별 월 예산 설정</t>
        </is>
      </c>
    </row>
    <row r="4">
      <c r="B4" s="10" t="inlineStr">
        <is>
          <t>카테고리</t>
        </is>
      </c>
      <c r="C4" s="10" t="inlineStr">
        <is>
          <t>월 예산</t>
        </is>
      </c>
      <c r="D4" s="10" t="inlineStr">
        <is>
          <t>메모(선택)</t>
        </is>
      </c>
    </row>
    <row r="5">
      <c r="B5" s="11" t="inlineStr">
        <is>
          <t>식비</t>
        </is>
      </c>
      <c r="C5" s="12" t="n">
        <v>500000</v>
      </c>
      <c r="D5" s="7" t="inlineStr"/>
    </row>
    <row r="6">
      <c r="B6" s="11" t="inlineStr">
        <is>
          <t>생활용품</t>
        </is>
      </c>
      <c r="C6" s="12" t="n">
        <v>120000</v>
      </c>
      <c r="D6" s="7" t="inlineStr"/>
    </row>
    <row r="7">
      <c r="B7" s="11" t="inlineStr">
        <is>
          <t>주거/공과금</t>
        </is>
      </c>
      <c r="C7" s="12" t="n">
        <v>350000</v>
      </c>
      <c r="D7" s="7" t="inlineStr"/>
    </row>
    <row r="8">
      <c r="B8" s="11" t="inlineStr">
        <is>
          <t>교통</t>
        </is>
      </c>
      <c r="C8" s="12" t="n">
        <v>80000</v>
      </c>
      <c r="D8" s="7" t="inlineStr"/>
    </row>
    <row r="9">
      <c r="B9" s="11" t="inlineStr">
        <is>
          <t>통신</t>
        </is>
      </c>
      <c r="C9" s="12" t="n">
        <v>70000</v>
      </c>
      <c r="D9" s="7" t="inlineStr"/>
    </row>
    <row r="10">
      <c r="B10" s="11" t="inlineStr">
        <is>
          <t>의료/건강</t>
        </is>
      </c>
      <c r="C10" s="12" t="n">
        <v>50000</v>
      </c>
      <c r="D10" s="7" t="inlineStr"/>
    </row>
    <row r="11">
      <c r="B11" s="11" t="inlineStr">
        <is>
          <t>문화/여가</t>
        </is>
      </c>
      <c r="C11" s="12" t="n">
        <v>100000</v>
      </c>
      <c r="D11" s="7" t="inlineStr"/>
    </row>
    <row r="12">
      <c r="B12" s="11" t="inlineStr">
        <is>
          <t>의류/미용</t>
        </is>
      </c>
      <c r="C12" s="12" t="n">
        <v>80000</v>
      </c>
      <c r="D12" s="7" t="inlineStr"/>
    </row>
    <row r="13">
      <c r="B13" s="11" t="inlineStr">
        <is>
          <t>경조사</t>
        </is>
      </c>
      <c r="C13" s="12" t="n">
        <v>50000</v>
      </c>
      <c r="D13" s="7" t="inlineStr"/>
    </row>
    <row r="14">
      <c r="B14" s="11" t="inlineStr">
        <is>
          <t>저축/투자</t>
        </is>
      </c>
      <c r="C14" s="12" t="n">
        <v>300000</v>
      </c>
      <c r="D14" s="7" t="inlineStr"/>
    </row>
    <row r="15">
      <c r="B15" s="11" t="inlineStr">
        <is>
          <t>기타</t>
        </is>
      </c>
      <c r="C15" s="12" t="n">
        <v>50000</v>
      </c>
      <c r="D15" s="7" t="inlineStr"/>
    </row>
    <row r="16">
      <c r="B16" s="13" t="inlineStr">
        <is>
          <t>합계</t>
        </is>
      </c>
      <c r="C16" s="14">
        <f>SUM(C5:C15)</f>
        <v/>
      </c>
      <c r="D16" s="15" t="n"/>
    </row>
    <row r="18">
      <c r="B18" s="16" t="inlineStr">
        <is>
          <t>월 목표 저축액</t>
        </is>
      </c>
      <c r="C18" s="17" t="n">
        <v>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0" customWidth="1" min="7" max="7"/>
  </cols>
  <sheetData>
    <row r="2">
      <c r="B2" s="18" t="inlineStr">
        <is>
          <t>대시보드</t>
        </is>
      </c>
      <c r="F2" s="19" t="inlineStr">
        <is>
          <t>조회 월</t>
        </is>
      </c>
      <c r="G2" s="20" t="inlineStr">
        <is>
          <t>1월</t>
        </is>
      </c>
    </row>
    <row r="4">
      <c r="B4" s="10" t="inlineStr">
        <is>
          <t>카테고리</t>
        </is>
      </c>
      <c r="C4" s="10" t="inlineStr">
        <is>
          <t>예산</t>
        </is>
      </c>
      <c r="D4" s="10" t="inlineStr">
        <is>
          <t>지출</t>
        </is>
      </c>
      <c r="E4" s="10" t="inlineStr">
        <is>
          <t>잔액</t>
        </is>
      </c>
      <c r="F4" s="10" t="inlineStr">
        <is>
          <t>달성률</t>
        </is>
      </c>
    </row>
    <row r="5">
      <c r="B5" s="11" t="inlineStr">
        <is>
          <t>식비</t>
        </is>
      </c>
      <c r="C5" s="12">
        <f>IFERROR(VLOOKUP(B5,설정!$B$5:$C$15,2,0),0)</f>
        <v/>
      </c>
      <c r="D5" s="12">
        <f>SUMIF(INDIRECT("'"&amp;$G$2&amp;"'!C6:C65"),B5,INDIRECT("'"&amp;$G$2&amp;"'!F6:F65"))</f>
        <v/>
      </c>
      <c r="E5" s="12">
        <f>C5-D5</f>
        <v/>
      </c>
      <c r="F5" s="21">
        <f>IFERROR(D5/C5,0)</f>
        <v/>
      </c>
    </row>
    <row r="6">
      <c r="B6" s="11" t="inlineStr">
        <is>
          <t>생활용품</t>
        </is>
      </c>
      <c r="C6" s="12">
        <f>IFERROR(VLOOKUP(B6,설정!$B$5:$C$15,2,0),0)</f>
        <v/>
      </c>
      <c r="D6" s="12">
        <f>SUMIF(INDIRECT("'"&amp;$G$2&amp;"'!C6:C65"),B6,INDIRECT("'"&amp;$G$2&amp;"'!F6:F65"))</f>
        <v/>
      </c>
      <c r="E6" s="12">
        <f>C6-D6</f>
        <v/>
      </c>
      <c r="F6" s="21">
        <f>IFERROR(D6/C6,0)</f>
        <v/>
      </c>
    </row>
    <row r="7">
      <c r="B7" s="11" t="inlineStr">
        <is>
          <t>주거/공과금</t>
        </is>
      </c>
      <c r="C7" s="12">
        <f>IFERROR(VLOOKUP(B7,설정!$B$5:$C$15,2,0),0)</f>
        <v/>
      </c>
      <c r="D7" s="12">
        <f>SUMIF(INDIRECT("'"&amp;$G$2&amp;"'!C6:C65"),B7,INDIRECT("'"&amp;$G$2&amp;"'!F6:F65"))</f>
        <v/>
      </c>
      <c r="E7" s="12">
        <f>C7-D7</f>
        <v/>
      </c>
      <c r="F7" s="21">
        <f>IFERROR(D7/C7,0)</f>
        <v/>
      </c>
    </row>
    <row r="8">
      <c r="B8" s="11" t="inlineStr">
        <is>
          <t>교통</t>
        </is>
      </c>
      <c r="C8" s="12">
        <f>IFERROR(VLOOKUP(B8,설정!$B$5:$C$15,2,0),0)</f>
        <v/>
      </c>
      <c r="D8" s="12">
        <f>SUMIF(INDIRECT("'"&amp;$G$2&amp;"'!C6:C65"),B8,INDIRECT("'"&amp;$G$2&amp;"'!F6:F65"))</f>
        <v/>
      </c>
      <c r="E8" s="12">
        <f>C8-D8</f>
        <v/>
      </c>
      <c r="F8" s="21">
        <f>IFERROR(D8/C8,0)</f>
        <v/>
      </c>
    </row>
    <row r="9">
      <c r="B9" s="11" t="inlineStr">
        <is>
          <t>통신</t>
        </is>
      </c>
      <c r="C9" s="12">
        <f>IFERROR(VLOOKUP(B9,설정!$B$5:$C$15,2,0),0)</f>
        <v/>
      </c>
      <c r="D9" s="12">
        <f>SUMIF(INDIRECT("'"&amp;$G$2&amp;"'!C6:C65"),B9,INDIRECT("'"&amp;$G$2&amp;"'!F6:F65"))</f>
        <v/>
      </c>
      <c r="E9" s="12">
        <f>C9-D9</f>
        <v/>
      </c>
      <c r="F9" s="21">
        <f>IFERROR(D9/C9,0)</f>
        <v/>
      </c>
    </row>
    <row r="10">
      <c r="B10" s="11" t="inlineStr">
        <is>
          <t>의료/건강</t>
        </is>
      </c>
      <c r="C10" s="12">
        <f>IFERROR(VLOOKUP(B10,설정!$B$5:$C$15,2,0),0)</f>
        <v/>
      </c>
      <c r="D10" s="12">
        <f>SUMIF(INDIRECT("'"&amp;$G$2&amp;"'!C6:C65"),B10,INDIRECT("'"&amp;$G$2&amp;"'!F6:F65"))</f>
        <v/>
      </c>
      <c r="E10" s="12">
        <f>C10-D10</f>
        <v/>
      </c>
      <c r="F10" s="21">
        <f>IFERROR(D10/C10,0)</f>
        <v/>
      </c>
    </row>
    <row r="11">
      <c r="B11" s="11" t="inlineStr">
        <is>
          <t>문화/여가</t>
        </is>
      </c>
      <c r="C11" s="12">
        <f>IFERROR(VLOOKUP(B11,설정!$B$5:$C$15,2,0),0)</f>
        <v/>
      </c>
      <c r="D11" s="12">
        <f>SUMIF(INDIRECT("'"&amp;$G$2&amp;"'!C6:C65"),B11,INDIRECT("'"&amp;$G$2&amp;"'!F6:F65"))</f>
        <v/>
      </c>
      <c r="E11" s="12">
        <f>C11-D11</f>
        <v/>
      </c>
      <c r="F11" s="21">
        <f>IFERROR(D11/C11,0)</f>
        <v/>
      </c>
    </row>
    <row r="12">
      <c r="B12" s="11" t="inlineStr">
        <is>
          <t>의류/미용</t>
        </is>
      </c>
      <c r="C12" s="12">
        <f>IFERROR(VLOOKUP(B12,설정!$B$5:$C$15,2,0),0)</f>
        <v/>
      </c>
      <c r="D12" s="12">
        <f>SUMIF(INDIRECT("'"&amp;$G$2&amp;"'!C6:C65"),B12,INDIRECT("'"&amp;$G$2&amp;"'!F6:F65"))</f>
        <v/>
      </c>
      <c r="E12" s="12">
        <f>C12-D12</f>
        <v/>
      </c>
      <c r="F12" s="21">
        <f>IFERROR(D12/C12,0)</f>
        <v/>
      </c>
    </row>
    <row r="13">
      <c r="B13" s="11" t="inlineStr">
        <is>
          <t>경조사</t>
        </is>
      </c>
      <c r="C13" s="12">
        <f>IFERROR(VLOOKUP(B13,설정!$B$5:$C$15,2,0),0)</f>
        <v/>
      </c>
      <c r="D13" s="12">
        <f>SUMIF(INDIRECT("'"&amp;$G$2&amp;"'!C6:C65"),B13,INDIRECT("'"&amp;$G$2&amp;"'!F6:F65"))</f>
        <v/>
      </c>
      <c r="E13" s="12">
        <f>C13-D13</f>
        <v/>
      </c>
      <c r="F13" s="21">
        <f>IFERROR(D13/C13,0)</f>
        <v/>
      </c>
    </row>
    <row r="14">
      <c r="B14" s="11" t="inlineStr">
        <is>
          <t>저축/투자</t>
        </is>
      </c>
      <c r="C14" s="12">
        <f>IFERROR(VLOOKUP(B14,설정!$B$5:$C$15,2,0),0)</f>
        <v/>
      </c>
      <c r="D14" s="12">
        <f>SUMIF(INDIRECT("'"&amp;$G$2&amp;"'!C6:C65"),B14,INDIRECT("'"&amp;$G$2&amp;"'!F6:F65"))</f>
        <v/>
      </c>
      <c r="E14" s="12">
        <f>C14-D14</f>
        <v/>
      </c>
      <c r="F14" s="21">
        <f>IFERROR(D14/C14,0)</f>
        <v/>
      </c>
    </row>
    <row r="15">
      <c r="B15" s="11" t="inlineStr">
        <is>
          <t>기타</t>
        </is>
      </c>
      <c r="C15" s="12">
        <f>IFERROR(VLOOKUP(B15,설정!$B$5:$C$15,2,0),0)</f>
        <v/>
      </c>
      <c r="D15" s="12">
        <f>SUMIF(INDIRECT("'"&amp;$G$2&amp;"'!C6:C65"),B15,INDIRECT("'"&amp;$G$2&amp;"'!F6:F65"))</f>
        <v/>
      </c>
      <c r="E15" s="12">
        <f>C15-D15</f>
        <v/>
      </c>
      <c r="F15" s="21">
        <f>IFERROR(D15/C15,0)</f>
        <v/>
      </c>
    </row>
    <row r="16">
      <c r="B16" s="13" t="inlineStr">
        <is>
          <t>합계</t>
        </is>
      </c>
      <c r="C16" s="14">
        <f>SUM(C5:C15)</f>
        <v/>
      </c>
      <c r="D16" s="14">
        <f>SUM(D5:D15)</f>
        <v/>
      </c>
      <c r="E16" s="14">
        <f>SUM(E5:E15)</f>
        <v/>
      </c>
      <c r="F16" s="22">
        <f>IFERROR(D16/C16,0)</f>
        <v/>
      </c>
    </row>
    <row r="18">
      <c r="B18" s="23" t="inlineStr">
        <is>
          <t>이번 달 총지출</t>
        </is>
      </c>
      <c r="C18" s="23" t="inlineStr">
        <is>
          <t>총예산 대비 잔액</t>
        </is>
      </c>
      <c r="D18" s="23" t="inlineStr">
        <is>
          <t>목표 저축액</t>
        </is>
      </c>
      <c r="E18" s="23" t="inlineStr">
        <is>
          <t>예산 달성률</t>
        </is>
      </c>
    </row>
    <row r="19" ht="26" customHeight="1">
      <c r="B19" s="24">
        <f>D16</f>
        <v/>
      </c>
      <c r="C19" s="25">
        <f>C16-D16</f>
        <v/>
      </c>
      <c r="D19" s="26">
        <f>설정!$C$18</f>
        <v/>
      </c>
      <c r="E19" s="27">
        <f>IFERROR(D16/C16,0)</f>
        <v/>
      </c>
    </row>
    <row r="21">
      <c r="B21" s="28" t="inlineStr">
        <is>
          <t>💡 잔액이 빨강이면 그 카테고리는 예산 초과예요. 다음 달 예산을 조정하거나 지출을 점검하세요.</t>
        </is>
      </c>
    </row>
  </sheetData>
  <mergeCells count="2">
    <mergeCell ref="B21:F21"/>
    <mergeCell ref="B2:D2"/>
  </mergeCells>
  <conditionalFormatting sqref="F5:F15">
    <cfRule type="cellIs" priority="1" operator="greaterThan" dxfId="0">
      <formula>1</formula>
    </cfRule>
    <cfRule type="dataBar" priority="2">
      <dataBar>
        <cfvo type="num" val="0"/>
        <cfvo type="num" val="1"/>
        <color rgb="006B8F71"/>
      </dataBar>
    </cfRule>
  </conditionalFormatting>
  <conditionalFormatting sqref="E5:E15">
    <cfRule type="cellIs" priority="3" operator="lessThan" dxfId="1">
      <formula>0</formula>
    </cfRule>
  </conditionalFormatting>
  <dataValidations count="1">
    <dataValidation sqref="G2" showDropDown="0" showInputMessage="0" showErrorMessage="0" allowBlank="0" type="list">
      <formula1>"1월,2월,3월,4월,5월,6월,7월,8월,9월,10월,11월,12월"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1월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2월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3월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4월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5월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6월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7월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8월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9월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10월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11월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40" customWidth="1" min="5" max="5"/>
    <col width="14" customWidth="1" min="6" max="6"/>
    <col width="6" customWidth="1" min="7" max="7"/>
  </cols>
  <sheetData>
    <row r="2">
      <c r="B2" s="9" t="inlineStr">
        <is>
          <t>12월 지출 기록</t>
        </is>
      </c>
      <c r="F2" s="29" t="inlineStr">
        <is>
          <t>이번 달 합계</t>
        </is>
      </c>
    </row>
    <row r="3">
      <c r="F3" s="30">
        <f>SUM(F6:F65)</f>
        <v/>
      </c>
    </row>
    <row r="5">
      <c r="B5" s="31" t="inlineStr">
        <is>
          <t>날짜</t>
        </is>
      </c>
      <c r="C5" s="31" t="inlineStr">
        <is>
          <t>카테고리</t>
        </is>
      </c>
      <c r="D5" s="31" t="inlineStr">
        <is>
          <t>결제수단</t>
        </is>
      </c>
      <c r="E5" s="31" t="inlineStr">
        <is>
          <t>내용</t>
        </is>
      </c>
      <c r="F5" s="31" t="inlineStr">
        <is>
          <t>금액</t>
        </is>
      </c>
      <c r="G5" s="31" t="inlineStr">
        <is>
          <t>고정비</t>
        </is>
      </c>
    </row>
    <row r="6">
      <c r="B6" s="32" t="n"/>
      <c r="C6" s="33" t="n"/>
      <c r="D6" s="33" t="n"/>
      <c r="E6" s="34" t="n"/>
      <c r="F6" s="35" t="n"/>
      <c r="G6" s="33" t="n"/>
    </row>
    <row r="7">
      <c r="B7" s="36" t="n"/>
      <c r="C7" s="37" t="n"/>
      <c r="D7" s="37" t="n"/>
      <c r="E7" s="11" t="n"/>
      <c r="F7" s="38" t="n"/>
      <c r="G7" s="37" t="n"/>
    </row>
    <row r="8">
      <c r="B8" s="32" t="n"/>
      <c r="C8" s="33" t="n"/>
      <c r="D8" s="33" t="n"/>
      <c r="E8" s="34" t="n"/>
      <c r="F8" s="35" t="n"/>
      <c r="G8" s="33" t="n"/>
    </row>
    <row r="9">
      <c r="B9" s="36" t="n"/>
      <c r="C9" s="37" t="n"/>
      <c r="D9" s="37" t="n"/>
      <c r="E9" s="11" t="n"/>
      <c r="F9" s="38" t="n"/>
      <c r="G9" s="37" t="n"/>
    </row>
    <row r="10">
      <c r="B10" s="32" t="n"/>
      <c r="C10" s="33" t="n"/>
      <c r="D10" s="33" t="n"/>
      <c r="E10" s="34" t="n"/>
      <c r="F10" s="35" t="n"/>
      <c r="G10" s="33" t="n"/>
    </row>
    <row r="11">
      <c r="B11" s="36" t="n"/>
      <c r="C11" s="37" t="n"/>
      <c r="D11" s="37" t="n"/>
      <c r="E11" s="11" t="n"/>
      <c r="F11" s="38" t="n"/>
      <c r="G11" s="37" t="n"/>
    </row>
    <row r="12">
      <c r="B12" s="32" t="n"/>
      <c r="C12" s="33" t="n"/>
      <c r="D12" s="33" t="n"/>
      <c r="E12" s="34" t="n"/>
      <c r="F12" s="35" t="n"/>
      <c r="G12" s="33" t="n"/>
    </row>
    <row r="13">
      <c r="B13" s="36" t="n"/>
      <c r="C13" s="37" t="n"/>
      <c r="D13" s="37" t="n"/>
      <c r="E13" s="11" t="n"/>
      <c r="F13" s="38" t="n"/>
      <c r="G13" s="37" t="n"/>
    </row>
    <row r="14">
      <c r="B14" s="32" t="n"/>
      <c r="C14" s="33" t="n"/>
      <c r="D14" s="33" t="n"/>
      <c r="E14" s="34" t="n"/>
      <c r="F14" s="35" t="n"/>
      <c r="G14" s="33" t="n"/>
    </row>
    <row r="15">
      <c r="B15" s="36" t="n"/>
      <c r="C15" s="37" t="n"/>
      <c r="D15" s="37" t="n"/>
      <c r="E15" s="11" t="n"/>
      <c r="F15" s="38" t="n"/>
      <c r="G15" s="37" t="n"/>
    </row>
    <row r="16">
      <c r="B16" s="32" t="n"/>
      <c r="C16" s="33" t="n"/>
      <c r="D16" s="33" t="n"/>
      <c r="E16" s="34" t="n"/>
      <c r="F16" s="35" t="n"/>
      <c r="G16" s="33" t="n"/>
    </row>
    <row r="17">
      <c r="B17" s="36" t="n"/>
      <c r="C17" s="37" t="n"/>
      <c r="D17" s="37" t="n"/>
      <c r="E17" s="11" t="n"/>
      <c r="F17" s="38" t="n"/>
      <c r="G17" s="37" t="n"/>
    </row>
    <row r="18">
      <c r="B18" s="32" t="n"/>
      <c r="C18" s="33" t="n"/>
      <c r="D18" s="33" t="n"/>
      <c r="E18" s="34" t="n"/>
      <c r="F18" s="35" t="n"/>
      <c r="G18" s="33" t="n"/>
    </row>
    <row r="19">
      <c r="B19" s="36" t="n"/>
      <c r="C19" s="37" t="n"/>
      <c r="D19" s="37" t="n"/>
      <c r="E19" s="11" t="n"/>
      <c r="F19" s="38" t="n"/>
      <c r="G19" s="37" t="n"/>
    </row>
    <row r="20">
      <c r="B20" s="32" t="n"/>
      <c r="C20" s="33" t="n"/>
      <c r="D20" s="33" t="n"/>
      <c r="E20" s="34" t="n"/>
      <c r="F20" s="35" t="n"/>
      <c r="G20" s="33" t="n"/>
    </row>
    <row r="21">
      <c r="B21" s="36" t="n"/>
      <c r="C21" s="37" t="n"/>
      <c r="D21" s="37" t="n"/>
      <c r="E21" s="11" t="n"/>
      <c r="F21" s="38" t="n"/>
      <c r="G21" s="37" t="n"/>
    </row>
    <row r="22">
      <c r="B22" s="32" t="n"/>
      <c r="C22" s="33" t="n"/>
      <c r="D22" s="33" t="n"/>
      <c r="E22" s="34" t="n"/>
      <c r="F22" s="35" t="n"/>
      <c r="G22" s="33" t="n"/>
    </row>
    <row r="23">
      <c r="B23" s="36" t="n"/>
      <c r="C23" s="37" t="n"/>
      <c r="D23" s="37" t="n"/>
      <c r="E23" s="11" t="n"/>
      <c r="F23" s="38" t="n"/>
      <c r="G23" s="37" t="n"/>
    </row>
    <row r="24">
      <c r="B24" s="32" t="n"/>
      <c r="C24" s="33" t="n"/>
      <c r="D24" s="33" t="n"/>
      <c r="E24" s="34" t="n"/>
      <c r="F24" s="35" t="n"/>
      <c r="G24" s="33" t="n"/>
    </row>
    <row r="25">
      <c r="B25" s="36" t="n"/>
      <c r="C25" s="37" t="n"/>
      <c r="D25" s="37" t="n"/>
      <c r="E25" s="11" t="n"/>
      <c r="F25" s="38" t="n"/>
      <c r="G25" s="37" t="n"/>
    </row>
    <row r="26">
      <c r="B26" s="32" t="n"/>
      <c r="C26" s="33" t="n"/>
      <c r="D26" s="33" t="n"/>
      <c r="E26" s="34" t="n"/>
      <c r="F26" s="35" t="n"/>
      <c r="G26" s="33" t="n"/>
    </row>
    <row r="27">
      <c r="B27" s="36" t="n"/>
      <c r="C27" s="37" t="n"/>
      <c r="D27" s="37" t="n"/>
      <c r="E27" s="11" t="n"/>
      <c r="F27" s="38" t="n"/>
      <c r="G27" s="37" t="n"/>
    </row>
    <row r="28">
      <c r="B28" s="32" t="n"/>
      <c r="C28" s="33" t="n"/>
      <c r="D28" s="33" t="n"/>
      <c r="E28" s="34" t="n"/>
      <c r="F28" s="35" t="n"/>
      <c r="G28" s="33" t="n"/>
    </row>
    <row r="29">
      <c r="B29" s="36" t="n"/>
      <c r="C29" s="37" t="n"/>
      <c r="D29" s="37" t="n"/>
      <c r="E29" s="11" t="n"/>
      <c r="F29" s="38" t="n"/>
      <c r="G29" s="37" t="n"/>
    </row>
    <row r="30">
      <c r="B30" s="32" t="n"/>
      <c r="C30" s="33" t="n"/>
      <c r="D30" s="33" t="n"/>
      <c r="E30" s="34" t="n"/>
      <c r="F30" s="35" t="n"/>
      <c r="G30" s="33" t="n"/>
    </row>
    <row r="31">
      <c r="B31" s="36" t="n"/>
      <c r="C31" s="37" t="n"/>
      <c r="D31" s="37" t="n"/>
      <c r="E31" s="11" t="n"/>
      <c r="F31" s="38" t="n"/>
      <c r="G31" s="37" t="n"/>
    </row>
    <row r="32">
      <c r="B32" s="32" t="n"/>
      <c r="C32" s="33" t="n"/>
      <c r="D32" s="33" t="n"/>
      <c r="E32" s="34" t="n"/>
      <c r="F32" s="35" t="n"/>
      <c r="G32" s="33" t="n"/>
    </row>
    <row r="33">
      <c r="B33" s="36" t="n"/>
      <c r="C33" s="37" t="n"/>
      <c r="D33" s="37" t="n"/>
      <c r="E33" s="11" t="n"/>
      <c r="F33" s="38" t="n"/>
      <c r="G33" s="37" t="n"/>
    </row>
    <row r="34">
      <c r="B34" s="32" t="n"/>
      <c r="C34" s="33" t="n"/>
      <c r="D34" s="33" t="n"/>
      <c r="E34" s="34" t="n"/>
      <c r="F34" s="35" t="n"/>
      <c r="G34" s="33" t="n"/>
    </row>
    <row r="35">
      <c r="B35" s="36" t="n"/>
      <c r="C35" s="37" t="n"/>
      <c r="D35" s="37" t="n"/>
      <c r="E35" s="11" t="n"/>
      <c r="F35" s="38" t="n"/>
      <c r="G35" s="37" t="n"/>
    </row>
    <row r="36">
      <c r="B36" s="32" t="n"/>
      <c r="C36" s="33" t="n"/>
      <c r="D36" s="33" t="n"/>
      <c r="E36" s="34" t="n"/>
      <c r="F36" s="35" t="n"/>
      <c r="G36" s="33" t="n"/>
    </row>
    <row r="37">
      <c r="B37" s="36" t="n"/>
      <c r="C37" s="37" t="n"/>
      <c r="D37" s="37" t="n"/>
      <c r="E37" s="11" t="n"/>
      <c r="F37" s="38" t="n"/>
      <c r="G37" s="37" t="n"/>
    </row>
    <row r="38">
      <c r="B38" s="32" t="n"/>
      <c r="C38" s="33" t="n"/>
      <c r="D38" s="33" t="n"/>
      <c r="E38" s="34" t="n"/>
      <c r="F38" s="35" t="n"/>
      <c r="G38" s="33" t="n"/>
    </row>
    <row r="39">
      <c r="B39" s="36" t="n"/>
      <c r="C39" s="37" t="n"/>
      <c r="D39" s="37" t="n"/>
      <c r="E39" s="11" t="n"/>
      <c r="F39" s="38" t="n"/>
      <c r="G39" s="37" t="n"/>
    </row>
    <row r="40">
      <c r="B40" s="32" t="n"/>
      <c r="C40" s="33" t="n"/>
      <c r="D40" s="33" t="n"/>
      <c r="E40" s="34" t="n"/>
      <c r="F40" s="35" t="n"/>
      <c r="G40" s="33" t="n"/>
    </row>
    <row r="41">
      <c r="B41" s="36" t="n"/>
      <c r="C41" s="37" t="n"/>
      <c r="D41" s="37" t="n"/>
      <c r="E41" s="11" t="n"/>
      <c r="F41" s="38" t="n"/>
      <c r="G41" s="37" t="n"/>
    </row>
    <row r="42">
      <c r="B42" s="32" t="n"/>
      <c r="C42" s="33" t="n"/>
      <c r="D42" s="33" t="n"/>
      <c r="E42" s="34" t="n"/>
      <c r="F42" s="35" t="n"/>
      <c r="G42" s="33" t="n"/>
    </row>
    <row r="43">
      <c r="B43" s="36" t="n"/>
      <c r="C43" s="37" t="n"/>
      <c r="D43" s="37" t="n"/>
      <c r="E43" s="11" t="n"/>
      <c r="F43" s="38" t="n"/>
      <c r="G43" s="37" t="n"/>
    </row>
    <row r="44">
      <c r="B44" s="32" t="n"/>
      <c r="C44" s="33" t="n"/>
      <c r="D44" s="33" t="n"/>
      <c r="E44" s="34" t="n"/>
      <c r="F44" s="35" t="n"/>
      <c r="G44" s="33" t="n"/>
    </row>
    <row r="45">
      <c r="B45" s="36" t="n"/>
      <c r="C45" s="37" t="n"/>
      <c r="D45" s="37" t="n"/>
      <c r="E45" s="11" t="n"/>
      <c r="F45" s="38" t="n"/>
      <c r="G45" s="37" t="n"/>
    </row>
    <row r="46">
      <c r="B46" s="32" t="n"/>
      <c r="C46" s="33" t="n"/>
      <c r="D46" s="33" t="n"/>
      <c r="E46" s="34" t="n"/>
      <c r="F46" s="35" t="n"/>
      <c r="G46" s="33" t="n"/>
    </row>
    <row r="47">
      <c r="B47" s="36" t="n"/>
      <c r="C47" s="37" t="n"/>
      <c r="D47" s="37" t="n"/>
      <c r="E47" s="11" t="n"/>
      <c r="F47" s="38" t="n"/>
      <c r="G47" s="37" t="n"/>
    </row>
    <row r="48">
      <c r="B48" s="32" t="n"/>
      <c r="C48" s="33" t="n"/>
      <c r="D48" s="33" t="n"/>
      <c r="E48" s="34" t="n"/>
      <c r="F48" s="35" t="n"/>
      <c r="G48" s="33" t="n"/>
    </row>
    <row r="49">
      <c r="B49" s="36" t="n"/>
      <c r="C49" s="37" t="n"/>
      <c r="D49" s="37" t="n"/>
      <c r="E49" s="11" t="n"/>
      <c r="F49" s="38" t="n"/>
      <c r="G49" s="37" t="n"/>
    </row>
    <row r="50">
      <c r="B50" s="32" t="n"/>
      <c r="C50" s="33" t="n"/>
      <c r="D50" s="33" t="n"/>
      <c r="E50" s="34" t="n"/>
      <c r="F50" s="35" t="n"/>
      <c r="G50" s="33" t="n"/>
    </row>
    <row r="51">
      <c r="B51" s="36" t="n"/>
      <c r="C51" s="37" t="n"/>
      <c r="D51" s="37" t="n"/>
      <c r="E51" s="11" t="n"/>
      <c r="F51" s="38" t="n"/>
      <c r="G51" s="37" t="n"/>
    </row>
    <row r="52">
      <c r="B52" s="32" t="n"/>
      <c r="C52" s="33" t="n"/>
      <c r="D52" s="33" t="n"/>
      <c r="E52" s="34" t="n"/>
      <c r="F52" s="35" t="n"/>
      <c r="G52" s="33" t="n"/>
    </row>
    <row r="53">
      <c r="B53" s="36" t="n"/>
      <c r="C53" s="37" t="n"/>
      <c r="D53" s="37" t="n"/>
      <c r="E53" s="11" t="n"/>
      <c r="F53" s="38" t="n"/>
      <c r="G53" s="37" t="n"/>
    </row>
    <row r="54">
      <c r="B54" s="32" t="n"/>
      <c r="C54" s="33" t="n"/>
      <c r="D54" s="33" t="n"/>
      <c r="E54" s="34" t="n"/>
      <c r="F54" s="35" t="n"/>
      <c r="G54" s="33" t="n"/>
    </row>
    <row r="55">
      <c r="B55" s="36" t="n"/>
      <c r="C55" s="37" t="n"/>
      <c r="D55" s="37" t="n"/>
      <c r="E55" s="11" t="n"/>
      <c r="F55" s="38" t="n"/>
      <c r="G55" s="37" t="n"/>
    </row>
    <row r="56">
      <c r="B56" s="32" t="n"/>
      <c r="C56" s="33" t="n"/>
      <c r="D56" s="33" t="n"/>
      <c r="E56" s="34" t="n"/>
      <c r="F56" s="35" t="n"/>
      <c r="G56" s="33" t="n"/>
    </row>
    <row r="57">
      <c r="B57" s="36" t="n"/>
      <c r="C57" s="37" t="n"/>
      <c r="D57" s="37" t="n"/>
      <c r="E57" s="11" t="n"/>
      <c r="F57" s="38" t="n"/>
      <c r="G57" s="37" t="n"/>
    </row>
    <row r="58">
      <c r="B58" s="32" t="n"/>
      <c r="C58" s="33" t="n"/>
      <c r="D58" s="33" t="n"/>
      <c r="E58" s="34" t="n"/>
      <c r="F58" s="35" t="n"/>
      <c r="G58" s="33" t="n"/>
    </row>
    <row r="59">
      <c r="B59" s="36" t="n"/>
      <c r="C59" s="37" t="n"/>
      <c r="D59" s="37" t="n"/>
      <c r="E59" s="11" t="n"/>
      <c r="F59" s="38" t="n"/>
      <c r="G59" s="37" t="n"/>
    </row>
    <row r="60">
      <c r="B60" s="32" t="n"/>
      <c r="C60" s="33" t="n"/>
      <c r="D60" s="33" t="n"/>
      <c r="E60" s="34" t="n"/>
      <c r="F60" s="35" t="n"/>
      <c r="G60" s="33" t="n"/>
    </row>
    <row r="61">
      <c r="B61" s="36" t="n"/>
      <c r="C61" s="37" t="n"/>
      <c r="D61" s="37" t="n"/>
      <c r="E61" s="11" t="n"/>
      <c r="F61" s="38" t="n"/>
      <c r="G61" s="37" t="n"/>
    </row>
    <row r="62">
      <c r="B62" s="32" t="n"/>
      <c r="C62" s="33" t="n"/>
      <c r="D62" s="33" t="n"/>
      <c r="E62" s="34" t="n"/>
      <c r="F62" s="35" t="n"/>
      <c r="G62" s="33" t="n"/>
    </row>
    <row r="63">
      <c r="B63" s="36" t="n"/>
      <c r="C63" s="37" t="n"/>
      <c r="D63" s="37" t="n"/>
      <c r="E63" s="11" t="n"/>
      <c r="F63" s="38" t="n"/>
      <c r="G63" s="37" t="n"/>
    </row>
    <row r="64">
      <c r="B64" s="32" t="n"/>
      <c r="C64" s="33" t="n"/>
      <c r="D64" s="33" t="n"/>
      <c r="E64" s="34" t="n"/>
      <c r="F64" s="35" t="n"/>
      <c r="G64" s="33" t="n"/>
    </row>
    <row r="65">
      <c r="B65" s="36" t="n"/>
      <c r="C65" s="37" t="n"/>
      <c r="D65" s="37" t="n"/>
      <c r="E65" s="11" t="n"/>
      <c r="F65" s="38" t="n"/>
      <c r="G65" s="37" t="n"/>
    </row>
  </sheetData>
  <mergeCells count="3">
    <mergeCell ref="F3:G3"/>
    <mergeCell ref="F2:G2"/>
    <mergeCell ref="B2:E2"/>
  </mergeCells>
  <dataValidations count="3">
    <dataValidation sqref="C6:C65" showDropDown="0" showInputMessage="0" showErrorMessage="0" allowBlank="1" type="list">
      <formula1>"식비,생활용품,주거/공과금,교통,통신,의료/건강,문화/여가,의류/미용,경조사,저축/투자,기타"</formula1>
    </dataValidation>
    <dataValidation sqref="D6:D65" showDropDown="0" showInputMessage="0" showErrorMessage="0" allowBlank="1" type="list">
      <formula1>"현금,체크카드,신용카드,계좌이체,간편결제"</formula1>
    </dataValidation>
    <dataValidation sqref="G6:G65" showDropDown="0" showInputMessage="0" showErrorMessage="0" allowBlank="1" type="list">
      <formula1>"고정,변동"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2026-07-10T08:54:30Z</dcterms:created>
  <dcterms:modified xsi:type="dcterms:W3CDTF">2026-07-10T08:54:31Z</dcterms:modified>
</cp:coreProperties>
</file>